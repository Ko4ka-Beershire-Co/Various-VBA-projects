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bookViews>
  <sheets>
    <sheet name="Script"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D2" i="1" l="1"/>
  <c r="G6" i="1" s="1"/>
</calcChain>
</file>

<file path=xl/sharedStrings.xml><?xml version="1.0" encoding="utf-8"?>
<sst xmlns="http://schemas.openxmlformats.org/spreadsheetml/2006/main" count="65" uniqueCount="50">
  <si>
    <t>Loop_num</t>
  </si>
  <si>
    <t>Профиль отправителя</t>
  </si>
  <si>
    <t>Gmail:</t>
  </si>
  <si>
    <t>Пароль:</t>
  </si>
  <si>
    <t>Port_id:</t>
  </si>
  <si>
    <t>Внимание, отправка займет</t>
  </si>
  <si>
    <t>секунд</t>
  </si>
  <si>
    <t>Send_to</t>
  </si>
  <si>
    <t>Gmail</t>
  </si>
  <si>
    <t>Как осуществляется пропуск на границе России в связи с коронавирусом?|Как осуществляется пропуск в Россию в связи с коронавирусом?|Каким образом реализуется пропуск на границе России из-за вируса?</t>
  </si>
  <si>
    <t>#Очень_длинный</t>
  </si>
  <si>
    <t>"Пересечение границы РФ с 30 марта ограничено. Пересекать границу по-прежнему смогут дипломатические работники и члены их семей, водители грузовых автомобилей, экипажи речных судов, международных поездов, сотрудники Межправительственной фельдъегерской связи, члены официальных делегаций, а также курьеры дипломатической связи при предъявлении документов, удостоверяющих их личность.
Под исключение также попадают граждане РФ и иностранцы, которые выезжают в связи со смертью близкого родственника (пропуск возможен при предъявлении копии свидетельства или справки о смерти, а также документа, подтверждающего степень родства).
Границу можно пересекать и жителям Калининградской области, следующим железнодорожным пассажирским транспортом транзитом с одной части территории РФ в Калининградскую область и обратно. То же касается и граждан РФ, которые постоянно проживают на территории Луганской и Донецкой областей Украины.
Подробности — в распоряжении Правительства РФ от двадцать седьмого марта 2020 года  Номер 763, Эрр.
Об исключениях для граждан государств участников СНГ, Республики Абхазия и Республики Южная Осетия."""</t>
  </si>
  <si>
    <t xml:space="preserve">"Чрезвычайно важно довести до кредиторов, то есть банка, микрофинансовой организации или кредитного потребительского кооператива, максимально полную информацию о ваших доходах в прошлом году и уровне снижения дохода за месяц, предшествующий подаче заявления, а также оперативно предоставить кредитору запрошенные документы.
Документами, подтверждающими снижение дохода, могут быть не только справка из налоговой инспекции, но и справка о регистрации на бирже труда, официально оформленный больничный лист и другие документы. Если не понимаете, какие именно документы ожидает кредитор, сто'ит обратиться с этим вопросом к самому кредитору.
При расчете среднемесячного дохода за ДВЕ ТЫСЯЧИ ДЕВЯТНАДЦАТЫй год следует внимательно ознакомиться с постановлением Правительства Российской Федерации, в котором подробно описано, какие виды доходов и в каком порядке включаются в расчёт.
Подтверждающие документы могут быть направлены заемщиком кредитору в течение ДЕВЯНОСТА дней после подачи заявления. Будьте предельно внимательны, оценивая, насколько вы соответствуете критериям закона и можете рассчитывать на кредитные каникулы. Если вам сложно самостоятельно оценить свои шансы, проконсультируйтесь у своего кредитора до подачи требования об отсрочке."
В группе риска люди старше шестидесяти лет, а также, люди с хроническими заболеваниями.
</t>
  </si>
  <si>
    <t xml:space="preserve">"По недавним исследованиям, у значительной части людей с коронавирусом отсутствуют симптомы, и что даже те, у кого симптомы появляются, могут передавать вирус другим, прежде чем проявить симптомы.
Это значит что вирус может распространяться между людьми на близкой дистанции при кашле чихании и просто разговоре, даже если нет симптомов инфекции. 
Центры по контролю и профилактике заболеваний СЭША' рекомендуют носить тканевые маски в общественных местах: например, в продуктовых магазинах и аптеках, где трудно сохранять дистанцию между людьми в полтора-два метра. При этом даже в масках сохраняйте дистанцию там, где это возможно. Помните, что маски являются эффективным средством только в комбинации с регулярной обработкой рук спиртосодержащим антисЭ'птиком или водой с мылом.
Носить простые тканевые маски нужно, чтобы замедлить распространение вируса - их можно изготовить из подручных материалов. Вымойте руки перед тем, как надеть маску, проверьте, что маска закрывает нос рот и подбородок. Не трогайте лицо и внешнюю сторону маски руками, после снятия маски снова вымойте руки. 
После использования тканевые маски нужно прокипятить или постирать при температуре не меньше 60 градусов и высушить полностью .
Хирургические маски и респираторы нужно оставить работникам здравоохранения, которым они критически важны. Если вы пользуетесь медицинской маской, вам следует знать правила использования и утилизации одноразовых медицинских масок."
</t>
  </si>
  <si>
    <t>"Постановление Роспотребнадзо'ра от ТРИДЦАТОГО МАРТА ДВЕ ТЫСЯЧИ ДВАДЦАТОГО ГОДА предписывает обеспечить изоляцию и медицинское наблюдение для всех, кто вернулся в Российскую Федерацию, на четырнадцать календарных дней со дня прибытия:
Люди, которые прилетели по месту постоянной регистрации, проходят карантин дома. Люди, которые приезжают не в домашний регион, проходят карантин в обсервации.
Для тех, кто не был за границей, предусмотрен режим самоизоляции. 
Прежде всего, самоизоляция необходима людям из уязвимых групп: это люди в возрасте старше 65 лет, люди с аутоиммунными заболеваниями, пациенты на иммуноподавлении, пациенты с ослабленным иммунитетом. Этой категории граждан показано по возможности не покидать пределов до'ма вообще. Для пополнения запасов еды и медикаментов лучше всего воспользоваться помощью социальных работников и волонтёров. Остальным гражданам тоже показана самоизоляция, но они могут выходить из дома за продуктами и медикаментами в ближайшие от их жилья магазины и аптеки, выноси'ть мусор и гулять с собаками. Лицам, чьё место работы входит в список предприятий, не приостанавливающих свою деятельность на время режима самоизоляции, можно ездить на работу, соблюдая все меры предосторожности. "</t>
  </si>
  <si>
    <t>"Разовая адресная помощь будет перечислена, во-первых, жителям Москвы старше 65 лет, в том числе работающим; во-вторых, жителям Москвы с хроническими заболеваниями, если им есть 18 лет. Они получат четыре тысячи рублей. Две тысячи рублей выплачивают сразу авансом, ещё две тысячи - 14 апреля, при условии добросовестного соблюдения режима самоизоляции.
Гражданам, которые есть в базе соцзащиты, выплаты начислены автоматически. Для остальных граждан выплата будет оформляться в индивидуальном порядке. Для этого нужно позвонить по телефону +7 (495)870-45-09 и оставить свои контакты.
После звонка с вами свяжутся сотрудники районного отдела соцзащиты по месту жительства, и всё оформят дистанционно.
Также вводится региональная компенсационная выплата безработным, у которых в 2020 году было 60 дней трудового стажа и которые при этом потеряли работу не из-за нарушения трудовой дисциплины и других виновных действий. Общий размер пособия по безработице и новой выплаты составит 19 500 рублей в месяц. 
Подробности указаны на сайте мэрии Москвы - мос точка ру.
С вопросами про выплаты безработным обращайтесь в Центр занятости населения города Москвы по телефону +7 (495) 705-75-75. Я могу повторить номер телефона, если вы скажете мне ""повтори номер""."</t>
  </si>
  <si>
    <t>"Чтобы получить цифровой пропуск для передвижения на работу, необходимо указать ФИО, данные документа, удостоверяющего личность (тип, серию и номер), номер телефона, e-mail по желанию, наименование работодателя и его ИНН. Если работодатель является медицинским учреждением, это необходимо указать отдельно. .
Чтобы получить цифровой пропуск для посещения медицинской организации, необходимо указать ФИО, дату рождения, данные документа, удостоверяющего личность (тип, серию и номер), номер телефона, e-mail по желанию, адрес отправления, адрес назначения и наименование медицинской организации.
Чтобы получить цифровой пропуск для разового передвижения в иных целях, необходимо указать ФИО, данные документа, удостоверяющего личность (тип, серию и номер), номер телефона, e-mail (по желанию), цель передвижения, адрес отправления и адрес назначения. 
Во всех перечисленных случаях для автомобиля потребуется указать регистрационный номер, а для общественного транспорта – номер карты «Тройка» или «Стрелка». 
Эти же сведения необходимо будет назвать оператору, если вы оформляете пропуск по телефону Единой справочной службы Правительства Москвы. Для подачи заявки на оформление цифрового пропуска по смс необходимо отправить на короткий номер 7377 сообщение специального формата. Инструкцию по тому, что писать в СМС, можно найти на сайте мос точка ру.
Я могу повторить номер телефона, если вы скажете мне ""повтори номер""."</t>
  </si>
  <si>
    <t>"Запрещено покидать квартиру: 
пациентам с подтвержденным диагнозом «коронавирус», которым врачи разрешили лечиться дома (карантин до отрицательного анализа на коронавирус);
людям, которые живут с заболевшими коронавирусом в одной квартире (карантин на 14 дней с момента госпитализации заболевшего или с момента выздоровления, если пациент лечится дома);
людям, которые контактировали с заболевшими (карантин на 14 дней с момента последнего контакта с заболевшим);
людям, которые вернулись из заграничных поездок (карантин на 14 дней с момента возвращения в Россию);
Для остальных москвичей действует режим самоизоляции. Это означает, что все жители Москвы, независимо от возраста, могут выходить из дома только в случаях:
когда вам нужна экстренная медицинская помощь и есть прямая угроза жизни и здоровью;
чтобы поехать на работу, если вас не перевели на удаленный режим;
чтобы купить продукты или лекарства в ближайшем магазине или аптеке;
чтобы вынести мусор;
чтобы выгулять домашних животных (не далее 100 м от дома).
Если вы находитесь в общественном месте, необходимо соблюдать социальную дистанцию не менее 1,5 метра. Исключение — поездки на такси.
Людям из группы риска по заражению коронавирусом (москвичам от шестидесяти пяти лет и людям с хроническими заболеваниями) запрещено выходить даже в магазин и аптеку. С доставкой продуктов, лекарств и предметов первой необходимости, выгулом домашних животных и другими бытовыми вопросами им помогут волонтеры и социальные работники. Для этого нужно обратиться на горячую линию: +7 (495) 870-45-09 (ежедневно, с 08:00 до 21:00). Если людям из группы риска нужна медицинская помощь, им нужно вызвать врача на'дом, а не идти в поликлинику.
Такие же меры введены в Подмосковье. Я могу повторить номер телефона горячейлинии, если вы скажете мне ""повтори номер""."</t>
  </si>
  <si>
    <t>"Это сообщение о необходимости соблюдать режим самоизоляции для людей старше шестидесяти пяти лет,. Коронавирус несет реальную угрозу здоровью пожилых людей и людей с хроническими заболеваниями. 
Если вы работаете, работодатели обязаны перевести Вас на режим удаленной работы, либо предоставить оплачиваемый отпуск или отправить на больничный. Также вам положена разовая материальная помощь в размере четырех тысяч рублей. Из них две тысячи рублей будет выплачено авансом, еще две тысячи рублей – после окончания домашнего режима, если Вы будете ответственно его соблюдать.
Чтобы получить больничный лист, позвоните по телефону восемь четыре девять пять восемь семь ноль четыре пять ноль девять и его доставят на'дом.
Если вам нужна доставка продуктов, лекарств, помощь в решении других бытовых проблем, звоните по телефону восемь четыре девять пять восемь семь ноль четыре пять ноль девять. На помощь придут социальные работники и волонтеры. Поэтому же телефону можно заказать доставку на'дом бесплатных и льготных лекарств и медицинских изделий. Я могу повторить номер телефона, если вы скажете мне ""повтори номер""."</t>
  </si>
  <si>
    <t>"Номер машины, номера' карт «Тройка» или «Стрелка» необходимо указывать только при их наличии. Если вы пользуетесь такси или разовыми билетами, оставьте это поле пустым.
Обратите внимание, что указом Мэра Москвы до первого мая приостановлено действие льгот на проезд в общественном транспорте, не только для школьников и студентов колледжей, но и для москвичей старше шестидесяти пяти лет и жителей, страдающих хроническими заболеваниями. Воспользоваться социальной картой москвича для бесплатного проезда в общественном транспорте сейчас могут лишь работники системы здравоохранения старше шестидесяти пяти лет.
Также возможность льготного проезда на общественном транспорте есть у студентов, которые работают или являются добровольцами в медицинских организациях. Чтобы разблокировать транспортное приложение социальной карты, им нужно подтвердить свою деятельность. Это можно сделать не только по телефону: + 7 (495) 777-77-77, но и на официальном сайте Мэра и Правительства Москвы мос точка ру (через личный кабинет). Карту москвича можно разблокировать, заполнив анкету. Я могу повторить номер телефона, если вы скажете мне ""повтори номер""."</t>
  </si>
  <si>
    <t>"Сгенерировать сообщение удобно с помощью мобильного приложения «Моя Москва».
В приложении выберите сервис «Цифровой пропуск».
Если вы хотите составить СМС самостоятельно, воспользуйтесь шаблоном ниже.
При оформлении цифрового пропуска для разового передвижения в иных целях необходимо отправить сообщение следующего вида.
Пропуск код цели тип паспорта (кодом) серия паспорта номер паспорта номер транспортного средства (если используется) номер карты «Тройка» (если есть) номер карты «Стрелка» (если есть) цель выхода (максимум 20 символов) адрес пункта назначения.
ПРИМЕР: Пропуск 3 1 1234 123 456  1 111 222 333 на дачу Опалиха, Пришвина, 11 (в примере не указаны транспортное средство и карта «Стрелка». Вместо них — звездочки).
 Код цели выхода из дома:
1 – пропуск для работающих;
2 – пропуск для посещения медицинской организации;
3 – пропуск для разовой поездки в иных целях.
Код типа документа, удостоверяющего личность:
1 – Паспорт гражданина РФ;
2 – Паспорт гражданина иностранного государства;
3 – Иной документ.
Обратите внимание, что разовые пропуска необходимо оформить на всех пассажиров и водителя. Номер машины указывается в каждом из пропусков."</t>
  </si>
  <si>
    <t>"Полицейский может проверить вас по своей базе лиц, для которых самоизоляция обязательна. Если вы такой человек и всё равно вышли на улицу, то вас могут задержать. 
Если вы не соблюдали социальную дистанцию;
заходили за ограждения ;
отвлекали разговорами водителей автобусов и троллейбусов;
осуществляли «действия, создающие угрозу собственной безопасности, жизни и здоровью»;
расклеивали листовки, в которых сообщали, что никакого коронавируса нет и всё это происки инопланетян, вас также могут задержать.
Если полицейские превышают свои полномочия и не выполняют правил задержания, постарайтесь заснять задержание на видео или попросите об этом кого-нибудь. Законодательство не запрещает снимать полицейских при исполнении. Возьмите контакты у очевидцев задержания — это может вам пригодиться. Нужно выяснить и записать ФИО, должность и номер жетона сотрудника полиции или бойца Росгвардии, который вас задерживал.  В каждом случае задержания, сотрудник полиции обязан задержанному его право на юридическую помощь, право на услуги переводчика, право на уведомление близких родственников или близких лиц о факте его задержания, право на отказ от дачи объяснения.
Задержанное лицо в кратчайший срок, но не поздне'е трех часов с момента задержания имеет право на один телефонный разговор в целях уведомления близких родственников или близких лиц о своем задержании и месте нахождения. Такое уведомление по просьбе задержанного лица может сделать сотрудник полиции. Если полицейский применяет физическое насилие, звоните на горячую линию О ВЭ ДЭ-Инфо: +7(800)707 05 28. Я могу повторить номер телефона, если вы скажете мне ""повтори номер""."</t>
  </si>
  <si>
    <t>"Маска и перчатки нужны всем, кто еще не переболел вирусом ковид-девятнадцать и выходит туда, где может встретить заразного человека. Это может быть подъезд, магазин, аптека, общественный транспорт или комната больного в общей квартире.
Очень важно носить маску людям, которые уже заразились, но болеют легко или переносят ковид бессимптомно. Маска поможет никого не заразить.
Так что, если вы не знаете точно, здоровы вы или являетесь бессимптомным носителем, носите маску.
Только некоторые высокотехнологичные маски обеспечивают полную непроницаемость для вируса. Однако даже простые аптечные и самодельные маски задерживают бОльшую часть микрокапелек, в которых частицы вируса путешествуют по воздуху. Никогда не используйте маску больше двух часов. Никогда не используйте маску повторно.
Перчатки защищают от нечаянного прикосновения к зараженным поверхностям: перилам в подъезде, кассовому терминалу в магазине. Старайтесь не прикасаться руками в перчатках к лицу.
Перчатки не обязательно должны быть одноразовыми. Тканевые перчатки можно использовать снова после стирки в машинке при высокой температуре. Резиновые достаточно вымыть горячей водой с мылом в течение не менее чем 30 секунд."</t>
  </si>
  <si>
    <t>"Нерабочие дни самоизоляции (с сохранением заработной платы) по всей России продлены указом Президента ЭР ЭФ до 30.04.2020.
Власти Москвы и Подмосковья с тридцатого марта ужесточили правила самоизоляции для всех жителей.
С пятнадцатого апреля для поездок по Москве и Московской области на личном и общественном транспорте потребуются специальные цифровые пропуска'. Порядок получения и использования пропуско'в.
Выйти из квартиры, в соответствии с указом мэра Москвы Сергея Собянина, разрешается только для обращения за экстренной медицинской помощью и для поездок на работу, если есть такая необходимость. Кроме того, выйти на улицу можно за продуктами (в близжайший к дому магазин), в аптеку или для того, чтобы вынести мусор и выгулять домашних животных, но на расстоянии не более, чем ста метров от дома. Мосгордума утвердила изменения в Кодекс города Москвы об административных правонарушениях, устанавливающие штрафы за нарушение мер самоизоляции.
Схожие меры действуют и в Подмосковье. Подробнее о том, как жить в условиях ограничений на ЭР БЭ КА.
Информация для автомобилистов о передвижении по Москве и въезде в Москву.
Для компенсации дополнительных расходов, которые могут возникнуть в связи с самоизоляцией, москвичам старше шестидесяти пяти лет и хронически больным людям выплатят разовую материальную помощь в размере 4000 рублей. Из них 2000 рублей выплатят авансом, ещё 2000 рублей – после окончания домашнего режима при условии его соблюдения"""". Указ мэра Москвы от двадцать третьего марта "</t>
  </si>
  <si>
    <t>"Бо'льшая часть населения (до пятнадцати двадцати процентов) сообщает о сезонных симптомах, связанных с пыльцой, наиболее распространенными из которых являются зуд в глазах, застой в носу, насморк, иногда свистящее дыхание и сыпь на коже. Обычно эти симптомы связывают с аллерги'ей на пыльцу или аллергическим ринитом. Аллергический ринит обычно ассоциируется у детей и взрослых с аллерги'ческой астмой.
На данный момент, результаты исследований показывают, что аллергия, включая легкую аллергическую астму, не является основным фактором риска заражения атипичной пневмонией САРС-КОВ-2 и не выступает фактором для неблагоприятного исхода течения болезни коронавирусной инфекцией. С другой стороны, умеренная и тяжелая астма, при которой пациенты ежедневно нуждаются в лечении, включена в число хронических заболеваний легких, располагающих к тяжелым формам ко'вид-19.
Дети и взрослые, которые принимают поддерживающие лекарства от аллергии (например, ингибиторы лейкотриена, ингаляционные кортикостероиды и/или бронхолитические препараты), должны продолжать лечение в соответствии с предписаниями врача и не должны прекращать прием лекарств из-за опасений по поводу ко'вид-19. Если у них появятся симптомы, совместимые с ко'вид-19, они должны будут самоизолироваться, сообщить об этом своему врачу и следить за своим здоровьем, как и все остальные. Если развивается прогрессирующая затрудненность дыхания, им следует обратиться за оперативной медицинской помощью."</t>
  </si>
  <si>
    <t>"Люди, страдающие редкими (орфанными) заболеваниями, к которым относят и муковисцидоз, представляют собой наиболее уязвимую группу пациентов. Эти заболевания, как правило, имеют хроническое течение и требуют постоянной специальной терапии. Легочная форма муковисцидоза характеризуется гиперпродукцией вязкого секрета в бронхолегочной системе, формируется, рецидивирующий хронический инфекционно-воспалительный процесс, который часто осложняется гнойно-обструктивным бронхитом, тяжелыми пневмониями со склонностью к абсцедированию (гнойное расплавление тканей). Все это приводит к серьезным поражениям легких и дыхательной недостаточности.
На сайте фонда муковисцидоза США  и на сайте всероссийской ассоциации для больных муковисцидозом опубликована информация по основным вопросам для этой группы пациентов всвязи' с ко'вид 19.
Фактические данные говорят о том, что люди, страдающие хроническими заболеваниями, по-видимому, подвержены риску более тяжелого течения ко'вид 19.
Больные с муковисцидозом должны следовать основным правилам, изложенным в руководстве для пациентов, находящихся в группе повышенного риска. Это рекомендации:
Оставаться дома как можно дольше;
Обеспечить запас медикаментов для плановой терапии и необходимых расходных материалов на несколько недель (принимая во внимание необходимость находиться дома в течение продолжительного количества времени);
Находясь на улице необходимо держаться дальше от большого скопления людей и особенно от людей с признаками болезни;
Необходимо избегать путешествий, авиаперелетов до получения уведомлений о прекращении карантинных мероприятий;
Муковисцидоз – сложное заболевание и у каждого больного имеет различную степень тяжести, поэтому необходимо напрямую связаться с лечащим врачом и обсудить необходимые индивидуальные меры профилактики ко'вид 19.
Должны быть рассмотрены дистанционные формы обучения и возможности удаленной работы для больных муковисцидозом. При наличии группы инвалидности следует руководствоваться нормативными актами Трудового законодательства РФ.
Соблюдать режим приема плановой медикаментозной терапии и ежедневных необходимых процедур. Нельзя менять плановую терапию самостоятельно, без консультации с лечащим врачом.
 Пациенты, страдающие орфанными заболеваниями, регулярно должны наблюдаться у врача. В период эпидемии необходимо связаться с лечащим врачом и рассмотреть возможность проведения удаленной консультации.
Пациенты, участвующие в клинических исследованиях, должны связаться со своим куратором и руководствоваться полученными инструкциями, которые позволят оставаться в исследовании."</t>
  </si>
  <si>
    <t>"Помните, что маска не сможет защитить вас полностью. Но она снизит риск заражения, если вы будете правильно её носить. Также необходимо регулярно мыть руки водой с мылом или обрабатывать спиртосодержащим антисЭптиком.
Материал, из которого вы планируете сделать маску, должен быть дышащим. Это нужно, чтобы вы могли свободно дышать, а лицо под маской не потело. Важно, чтобы ткань не раздражала кожу и прилегала плотно к лицу.
Чем больше слоёв у самодельной маски и чем плотнее она прилегает к лицу, тем лучше она защищает. Старайтесь не прикасаться к маске, пока она на вашем лице. Если вам приходится это делать, обязательно мойте руки до и после.
Через два-три часа' ношения маску необходимо заменить на новую.  Если вы чихнули или закашлялись, то маску тоже следует сменить. Для этого стоит изготовить несколько масок и носить их с собой.
Тканевые маски нужно тщательно стирать в горячей воде со стиральным порошком, а после стирки проглаживать горячим утюгом.
Чтобы сделать простую медицинскую маску из ткани вам потребуется эластичный шнур или две тонкие резинки для воло'с. Линейка. Ножницы. Платок или отрез из хлопчатобумажной ткани размером примерно 50 на 50 сантиметров. 
Если используете шнур, отрежьте от него две одинаковые полоски длиной около 25 сантиметров. Свяжите концы каждой из них крепким двойным узлом.
Сложите платок пополам, накладывая нижнюю часть на верхнюю.
Затем сложите ткань вдоль пополам ещё раз.
Снова сверните платок таким же образом, чтобы получилась узкая полоска.
Наденьте детали из шнура или резинки для воло'с на ткань с двух сторон.
Загните левую сторону ткани к центру полоски, не доходя до другой лямки.
Сверху наложи'те правую часть полосы'. Обе лямки должны находиться на сгибах ткани.
Раскройте одну сторону ткани и вложите внутрь другую.
Маска готова. Она состоит из двух частей ткани. После того, как наденете её, аккуратно опустите заднюю часть вниз на подбородок.
"</t>
  </si>
  <si>
    <t>Item_no</t>
  </si>
  <si>
    <t>Следует ли мне носить маску, чтобы защитить себя?|Защищают ли маски?|Для чего нужна маска?</t>
  </si>
  <si>
    <t>Как доказать, что имеешь право на кредитные каникулы? Какие подтверждающие документы могут понадобиться?|Какие необходимы доказательства для получения кредитных каникул?</t>
  </si>
  <si>
    <t>Как мне понять, что мне нужно на карантин?|Мне нужно на карантин, как мне это понять?|Каким образом мне можно сообразить, что мне нужно на карантин?</t>
  </si>
  <si>
    <t>кому-то, кто остался на самоизоляции, положены выплаты?|всем ли, кто остался на самоизоляции, положены выплаты?|кому из оставшихся на самоизоляции положены выплаты?</t>
  </si>
  <si>
    <t>Какие данные должны быть заполнены в заявке, чтобы получить цифровой пропуск?|Какие данные в заявке должны быть заполнены, чтобы получить цифровой пропуск?|Чтобы получить цифровой пропуск, какие данные в заявке должны быть заполнены?</t>
  </si>
  <si>
    <t>Кто должен оставаться на самоизоляции?|На самоизоляции кто должен оставаться?|кому необходимо оставаться на самоизоляции?</t>
  </si>
  <si>
    <t>Мне пришла СМС о том, что я в группе риска по коронавирусной инфекции. Что это значит?|Поступило сообщение, что я в группе риска, что это значит?|Что значит сообщение о том, что я в группе риска?</t>
  </si>
  <si>
    <t>Чтобы получить пропуск для поездки на автобусе, надо указать номер «Тройки» или «Стрелки». Как получить пропуск, если нет ни «Тройки», ни «Стрелки», а есть только социальная карта?| Если у меня нет карт Тройка или Стрелка как мне получить пропуск если у меня социальная карта?| У меня только социальная карта как мне получить пропуск в данном случае?</t>
  </si>
  <si>
    <t>Что указать в СМС, чтобы получить пропуск для проезда на дачу с женой на своей машине?|Чтобы пропуск получить для проезда на дачу с женой на своей машине что в смс указать надо?|что нужно написать в смс для получения пропуска на дачу с супругой на личном авто?</t>
  </si>
  <si>
    <t>имеют ли право меня задержать на улице представители власти?|меня может задержать полиция?|полиция может проверять документы?</t>
  </si>
  <si>
    <t>какие нужно использовать средства индивидуальной защиты?|мне нужно носить маску?|обязательно носить маску?</t>
  </si>
  <si>
    <t>Сколько длятся нерабочие дни?|Куда можно выходить при режиме самоизоляции?|а куда можно выходить на улицу?</t>
  </si>
  <si>
    <t>Имеют ли люди, страдающие пыльцевой аллергией или аллергией в целом, более высокий риск развития тяжелого заболевания при наличии COVID-19?</t>
  </si>
  <si>
    <t>Какие могут быть специальные рекомендации для пациентов с редкими заболеваниями легких?|Какие рекомендации при муковисцидозе?</t>
  </si>
  <si>
    <t>как сделать маску своими руками?| можно ли сделать маску своими руками?| маска своими руками?</t>
  </si>
  <si>
    <t>Recepient Email</t>
  </si>
  <si>
    <t>Your Gmail</t>
  </si>
  <si>
    <t>Password from your Gmail</t>
  </si>
  <si>
    <t>Header 1</t>
  </si>
  <si>
    <t>Header 2</t>
  </si>
  <si>
    <t>Header 0 (prefix)</t>
  </si>
  <si>
    <t>Email 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</si>
</sst>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1"/>
      <name val="Calibri"/>
      <family val="2"/>
      <charset val="204"/>
      <scheme val="minor"/>
    </font>
    <font>
      <u/>
      <sz val="11"/>
      <color theme="10"/>
      <name val="Calibri"/>
      <family val="2"/>
      <scheme val="minor"/>
    </font>
    <font>
      <sz val="11"/>
      <color theme="1"/>
      <name val="MT Extra"/>
      <family val="1"/>
      <charset val="2"/>
    </font>
    <font>
      <sz val="11"/>
      <color rgb="FF000000"/>
      <name val="Arial"/>
      <family val="2"/>
    </font>
  </fonts>
  <fills count="7">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FFC000"/>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27">
    <xf numFmtId="0" fontId="0" fillId="0" borderId="0" xfId="0"/>
    <xf numFmtId="0" fontId="1" fillId="0" borderId="3" xfId="0" applyFont="1" applyBorder="1" applyAlignment="1"/>
    <xf numFmtId="0" fontId="0" fillId="4" borderId="6" xfId="0" applyFill="1" applyBorder="1"/>
    <xf numFmtId="0" fontId="0" fillId="4" borderId="7" xfId="0" applyFill="1" applyBorder="1"/>
    <xf numFmtId="0" fontId="1" fillId="4" borderId="5" xfId="0" applyFont="1" applyFill="1" applyBorder="1"/>
    <xf numFmtId="0" fontId="1" fillId="4" borderId="8" xfId="0" applyFont="1" applyFill="1" applyBorder="1" applyAlignment="1">
      <alignment horizontal="right"/>
    </xf>
    <xf numFmtId="0" fontId="1" fillId="4" borderId="10" xfId="0" applyFont="1" applyFill="1" applyBorder="1" applyAlignment="1">
      <alignment horizontal="right"/>
    </xf>
    <xf numFmtId="0" fontId="0" fillId="5" borderId="9" xfId="0" applyFill="1" applyBorder="1"/>
    <xf numFmtId="0" fontId="0" fillId="3" borderId="11" xfId="0" applyFill="1" applyBorder="1"/>
    <xf numFmtId="0" fontId="0" fillId="3" borderId="12" xfId="0" applyFill="1" applyBorder="1"/>
    <xf numFmtId="0" fontId="1" fillId="4" borderId="5" xfId="0" applyFont="1" applyFill="1" applyBorder="1" applyAlignment="1">
      <alignment horizontal="left"/>
    </xf>
    <xf numFmtId="0" fontId="0" fillId="6" borderId="10" xfId="0" applyFill="1" applyBorder="1"/>
    <xf numFmtId="0" fontId="1" fillId="6" borderId="11" xfId="0" applyFont="1" applyFill="1" applyBorder="1"/>
    <xf numFmtId="0" fontId="1" fillId="6" borderId="12" xfId="0" applyFont="1" applyFill="1" applyBorder="1"/>
    <xf numFmtId="0" fontId="0" fillId="0" borderId="0" xfId="0" applyAlignment="1">
      <alignment wrapText="1"/>
    </xf>
    <xf numFmtId="0" fontId="0" fillId="0" borderId="0" xfId="0" applyAlignment="1"/>
    <xf numFmtId="0" fontId="1" fillId="2" borderId="1" xfId="0" applyFont="1" applyFill="1" applyBorder="1" applyAlignment="1">
      <alignment wrapText="1"/>
    </xf>
    <xf numFmtId="0" fontId="1" fillId="0" borderId="2" xfId="0" applyFont="1" applyBorder="1" applyAlignment="1">
      <alignment wrapText="1"/>
    </xf>
    <xf numFmtId="0" fontId="3" fillId="5" borderId="0" xfId="0" applyFont="1" applyFill="1" applyBorder="1"/>
    <xf numFmtId="0" fontId="0" fillId="3" borderId="4" xfId="0" applyFill="1" applyBorder="1" applyAlignment="1"/>
    <xf numFmtId="0" fontId="0" fillId="3" borderId="13" xfId="0" applyFill="1" applyBorder="1" applyAlignment="1"/>
    <xf numFmtId="0" fontId="1" fillId="0" borderId="2" xfId="0" applyFont="1" applyBorder="1" applyAlignment="1"/>
    <xf numFmtId="0" fontId="2" fillId="5" borderId="1" xfId="1" applyFill="1" applyBorder="1" applyAlignment="1"/>
    <xf numFmtId="0" fontId="2" fillId="5" borderId="0" xfId="1" applyFill="1" applyBorder="1"/>
    <xf numFmtId="0" fontId="4" fillId="0" borderId="0" xfId="0" applyFont="1"/>
    <xf numFmtId="0" fontId="1" fillId="0" borderId="14" xfId="0" applyFont="1" applyBorder="1" applyAlignment="1">
      <alignment wrapText="1"/>
    </xf>
    <xf numFmtId="0" fontId="4" fillId="0" borderId="0" xfId="0" applyFont="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1809750</xdr:colOff>
          <xdr:row>7</xdr:row>
          <xdr:rowOff>28575</xdr:rowOff>
        </xdr:from>
        <xdr:to>
          <xdr:col>8</xdr:col>
          <xdr:colOff>9525</xdr:colOff>
          <xdr:row>9</xdr:row>
          <xdr:rowOff>47625</xdr:rowOff>
        </xdr:to>
        <xdr:sp macro="" textlink="">
          <xdr:nvSpPr>
            <xdr:cNvPr id="1025" name="Run_email_script"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gvortex1@gmail.co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100"/>
  <sheetViews>
    <sheetView tabSelected="1" workbookViewId="0">
      <selection activeCell="H30" sqref="H30"/>
    </sheetView>
  </sheetViews>
  <sheetFormatPr defaultRowHeight="15" x14ac:dyDescent="0.25"/>
  <cols>
    <col min="1" max="2" width="11.42578125" style="14" customWidth="1"/>
    <col min="3" max="3" width="37.140625" style="15" customWidth="1"/>
    <col min="4" max="4" width="29.85546875" style="15" customWidth="1"/>
    <col min="5" max="5" width="28.28515625" style="15" customWidth="1"/>
    <col min="8" max="8" width="13" customWidth="1"/>
  </cols>
  <sheetData>
    <row r="1" spans="1:21" ht="15.75" thickBot="1" x14ac:dyDescent="0.3">
      <c r="D1" s="19" t="s">
        <v>0</v>
      </c>
      <c r="F1" s="4" t="s">
        <v>1</v>
      </c>
      <c r="G1" s="2"/>
      <c r="H1" s="3"/>
    </row>
    <row r="2" spans="1:21" ht="15.75" thickBot="1" x14ac:dyDescent="0.3">
      <c r="B2" s="16" t="s">
        <v>7</v>
      </c>
      <c r="C2" s="22" t="s">
        <v>43</v>
      </c>
      <c r="D2" s="20">
        <f>MAX(A4:A200)</f>
        <v>16</v>
      </c>
      <c r="F2" s="5" t="s">
        <v>2</v>
      </c>
      <c r="G2" s="23" t="s">
        <v>44</v>
      </c>
      <c r="H2" s="7"/>
    </row>
    <row r="3" spans="1:21" ht="15.75" thickBot="1" x14ac:dyDescent="0.3">
      <c r="A3" s="17" t="s">
        <v>27</v>
      </c>
      <c r="B3" s="25" t="s">
        <v>46</v>
      </c>
      <c r="C3" s="1" t="s">
        <v>47</v>
      </c>
      <c r="D3" s="21" t="s">
        <v>49</v>
      </c>
      <c r="E3" s="1" t="s">
        <v>48</v>
      </c>
      <c r="F3" s="5" t="s">
        <v>3</v>
      </c>
      <c r="G3" s="18" t="s">
        <v>45</v>
      </c>
      <c r="H3" s="7"/>
    </row>
    <row r="4" spans="1:21" ht="15.75" thickBot="1" x14ac:dyDescent="0.3">
      <c r="A4" s="14">
        <f>COUNTA(C4)</f>
        <v>1</v>
      </c>
      <c r="B4" s="14">
        <v>126</v>
      </c>
      <c r="C4" s="24" t="s">
        <v>9</v>
      </c>
      <c r="D4" s="26" t="s">
        <v>11</v>
      </c>
      <c r="E4" s="15" t="s">
        <v>10</v>
      </c>
      <c r="F4" s="6" t="s">
        <v>4</v>
      </c>
      <c r="G4" s="8">
        <v>25</v>
      </c>
      <c r="H4" s="9" t="s">
        <v>8</v>
      </c>
    </row>
    <row r="5" spans="1:21" x14ac:dyDescent="0.25">
      <c r="A5" s="14">
        <f>COUNTA(C5)+A4</f>
        <v>2</v>
      </c>
      <c r="B5" s="14">
        <v>166</v>
      </c>
      <c r="C5" s="24" t="s">
        <v>29</v>
      </c>
      <c r="D5" s="26" t="s">
        <v>12</v>
      </c>
      <c r="E5" s="15" t="s">
        <v>10</v>
      </c>
      <c r="F5" s="10" t="s">
        <v>5</v>
      </c>
      <c r="G5" s="2"/>
      <c r="H5" s="3"/>
    </row>
    <row r="6" spans="1:21" ht="15.75" thickBot="1" x14ac:dyDescent="0.3">
      <c r="A6" s="14">
        <f>COUNTA(C6)+A5</f>
        <v>3</v>
      </c>
      <c r="B6" s="14">
        <v>204</v>
      </c>
      <c r="C6" s="24" t="s">
        <v>28</v>
      </c>
      <c r="D6" s="26" t="s">
        <v>13</v>
      </c>
      <c r="E6" s="15" t="s">
        <v>10</v>
      </c>
      <c r="F6" s="11"/>
      <c r="G6" s="12">
        <f>D2*5+20</f>
        <v>100</v>
      </c>
      <c r="H6" s="13" t="s">
        <v>6</v>
      </c>
    </row>
    <row r="7" spans="1:21" x14ac:dyDescent="0.25">
      <c r="A7" s="14">
        <f t="shared" ref="A7:A70" si="0">COUNTA(C7)+A6</f>
        <v>4</v>
      </c>
      <c r="B7" s="14">
        <v>210</v>
      </c>
      <c r="C7" s="24" t="s">
        <v>30</v>
      </c>
      <c r="D7" s="26" t="s">
        <v>14</v>
      </c>
      <c r="E7" s="15" t="s">
        <v>10</v>
      </c>
    </row>
    <row r="8" spans="1:21" x14ac:dyDescent="0.25">
      <c r="A8" s="14">
        <f t="shared" si="0"/>
        <v>5</v>
      </c>
      <c r="B8" s="14">
        <v>258</v>
      </c>
      <c r="C8" s="24" t="s">
        <v>31</v>
      </c>
      <c r="D8" s="26" t="s">
        <v>15</v>
      </c>
      <c r="E8" s="15" t="s">
        <v>10</v>
      </c>
    </row>
    <row r="9" spans="1:21" x14ac:dyDescent="0.25">
      <c r="A9" s="14">
        <f t="shared" si="0"/>
        <v>6</v>
      </c>
      <c r="B9" s="14">
        <v>269</v>
      </c>
      <c r="C9" s="24" t="s">
        <v>32</v>
      </c>
      <c r="D9" s="26" t="s">
        <v>16</v>
      </c>
      <c r="E9" s="15" t="s">
        <v>10</v>
      </c>
    </row>
    <row r="10" spans="1:21" x14ac:dyDescent="0.25">
      <c r="A10" s="14">
        <f t="shared" si="0"/>
        <v>7</v>
      </c>
      <c r="B10" s="14">
        <v>395</v>
      </c>
      <c r="C10" s="24" t="s">
        <v>33</v>
      </c>
      <c r="D10" s="26" t="s">
        <v>17</v>
      </c>
      <c r="E10" s="15" t="s">
        <v>10</v>
      </c>
    </row>
    <row r="11" spans="1:21" x14ac:dyDescent="0.25">
      <c r="A11" s="14">
        <f t="shared" si="0"/>
        <v>8</v>
      </c>
      <c r="B11" s="14">
        <v>440</v>
      </c>
      <c r="C11" s="24" t="s">
        <v>34</v>
      </c>
      <c r="D11" s="26" t="s">
        <v>18</v>
      </c>
      <c r="E11" s="15" t="s">
        <v>10</v>
      </c>
      <c r="T11" s="15"/>
      <c r="U11" s="15"/>
    </row>
    <row r="12" spans="1:21" x14ac:dyDescent="0.25">
      <c r="A12" s="14">
        <f t="shared" si="0"/>
        <v>9</v>
      </c>
      <c r="B12" s="14">
        <v>455</v>
      </c>
      <c r="C12" s="24" t="s">
        <v>35</v>
      </c>
      <c r="D12" s="26" t="s">
        <v>19</v>
      </c>
      <c r="E12" s="15" t="s">
        <v>10</v>
      </c>
      <c r="T12" s="15"/>
      <c r="U12" s="15"/>
    </row>
    <row r="13" spans="1:21" x14ac:dyDescent="0.25">
      <c r="A13" s="14">
        <f t="shared" si="0"/>
        <v>10</v>
      </c>
      <c r="B13" s="14">
        <v>456</v>
      </c>
      <c r="C13" s="24" t="s">
        <v>36</v>
      </c>
      <c r="D13" s="26" t="s">
        <v>20</v>
      </c>
      <c r="E13" s="15" t="s">
        <v>10</v>
      </c>
      <c r="T13" s="15"/>
      <c r="U13" s="15"/>
    </row>
    <row r="14" spans="1:21" x14ac:dyDescent="0.25">
      <c r="A14" s="14">
        <f t="shared" si="0"/>
        <v>11</v>
      </c>
      <c r="B14" s="14">
        <v>526</v>
      </c>
      <c r="C14" s="24" t="s">
        <v>37</v>
      </c>
      <c r="D14" s="26" t="s">
        <v>21</v>
      </c>
      <c r="E14" s="15" t="s">
        <v>10</v>
      </c>
    </row>
    <row r="15" spans="1:21" x14ac:dyDescent="0.25">
      <c r="A15" s="14">
        <f t="shared" si="0"/>
        <v>12</v>
      </c>
      <c r="B15" s="14">
        <v>556</v>
      </c>
      <c r="C15" s="24" t="s">
        <v>38</v>
      </c>
      <c r="D15" s="26" t="s">
        <v>22</v>
      </c>
      <c r="E15" s="15" t="s">
        <v>10</v>
      </c>
    </row>
    <row r="16" spans="1:21" x14ac:dyDescent="0.25">
      <c r="A16" s="14">
        <f t="shared" si="0"/>
        <v>13</v>
      </c>
      <c r="B16" s="14">
        <v>613</v>
      </c>
      <c r="C16" s="24" t="s">
        <v>39</v>
      </c>
      <c r="D16" s="26" t="s">
        <v>23</v>
      </c>
      <c r="E16" s="15" t="s">
        <v>10</v>
      </c>
    </row>
    <row r="17" spans="1:5" x14ac:dyDescent="0.25">
      <c r="A17" s="14">
        <f t="shared" si="0"/>
        <v>14</v>
      </c>
      <c r="B17" s="14">
        <v>675</v>
      </c>
      <c r="C17" s="24" t="s">
        <v>40</v>
      </c>
      <c r="D17" s="26" t="s">
        <v>24</v>
      </c>
      <c r="E17" s="15" t="s">
        <v>10</v>
      </c>
    </row>
    <row r="18" spans="1:5" x14ac:dyDescent="0.25">
      <c r="A18" s="14">
        <f t="shared" si="0"/>
        <v>15</v>
      </c>
      <c r="B18" s="14">
        <v>677</v>
      </c>
      <c r="C18" s="24" t="s">
        <v>41</v>
      </c>
      <c r="D18" s="26" t="s">
        <v>25</v>
      </c>
      <c r="E18" s="15" t="s">
        <v>10</v>
      </c>
    </row>
    <row r="19" spans="1:5" x14ac:dyDescent="0.25">
      <c r="A19" s="14">
        <f t="shared" si="0"/>
        <v>16</v>
      </c>
      <c r="B19" s="14">
        <v>715</v>
      </c>
      <c r="C19" s="24" t="s">
        <v>42</v>
      </c>
      <c r="D19" s="26" t="s">
        <v>26</v>
      </c>
      <c r="E19" s="15" t="s">
        <v>10</v>
      </c>
    </row>
    <row r="20" spans="1:5" x14ac:dyDescent="0.25">
      <c r="A20" s="14">
        <f t="shared" si="0"/>
        <v>16</v>
      </c>
      <c r="C20" s="24"/>
      <c r="D20" s="26"/>
    </row>
    <row r="21" spans="1:5" x14ac:dyDescent="0.25">
      <c r="A21" s="14">
        <f t="shared" si="0"/>
        <v>16</v>
      </c>
      <c r="C21" s="24"/>
      <c r="D21" s="26"/>
    </row>
    <row r="22" spans="1:5" x14ac:dyDescent="0.25">
      <c r="A22" s="14">
        <f t="shared" si="0"/>
        <v>16</v>
      </c>
      <c r="C22" s="24"/>
      <c r="D22" s="26"/>
    </row>
    <row r="23" spans="1:5" x14ac:dyDescent="0.25">
      <c r="A23" s="14">
        <f t="shared" si="0"/>
        <v>16</v>
      </c>
      <c r="C23" s="24"/>
      <c r="D23" s="26"/>
    </row>
    <row r="24" spans="1:5" x14ac:dyDescent="0.25">
      <c r="A24" s="14">
        <f t="shared" si="0"/>
        <v>16</v>
      </c>
      <c r="C24" s="24"/>
      <c r="D24" s="26"/>
    </row>
    <row r="25" spans="1:5" x14ac:dyDescent="0.25">
      <c r="A25" s="14">
        <f t="shared" si="0"/>
        <v>16</v>
      </c>
      <c r="C25" s="24"/>
      <c r="D25" s="26"/>
    </row>
    <row r="26" spans="1:5" x14ac:dyDescent="0.25">
      <c r="A26" s="14">
        <f t="shared" si="0"/>
        <v>16</v>
      </c>
      <c r="C26" s="24"/>
      <c r="D26" s="26"/>
    </row>
    <row r="27" spans="1:5" x14ac:dyDescent="0.25">
      <c r="A27" s="14">
        <f t="shared" si="0"/>
        <v>16</v>
      </c>
      <c r="C27" s="24"/>
      <c r="D27" s="26"/>
    </row>
    <row r="28" spans="1:5" x14ac:dyDescent="0.25">
      <c r="A28" s="14">
        <f t="shared" si="0"/>
        <v>16</v>
      </c>
      <c r="C28" s="24"/>
      <c r="D28" s="26"/>
    </row>
    <row r="29" spans="1:5" x14ac:dyDescent="0.25">
      <c r="A29" s="14">
        <f t="shared" si="0"/>
        <v>16</v>
      </c>
      <c r="C29" s="24"/>
      <c r="D29" s="26"/>
    </row>
    <row r="30" spans="1:5" x14ac:dyDescent="0.25">
      <c r="A30" s="14">
        <f t="shared" si="0"/>
        <v>16</v>
      </c>
      <c r="C30" s="24"/>
      <c r="D30" s="26"/>
    </row>
    <row r="31" spans="1:5" x14ac:dyDescent="0.25">
      <c r="A31" s="14">
        <f t="shared" si="0"/>
        <v>16</v>
      </c>
      <c r="C31" s="24"/>
      <c r="D31" s="26"/>
    </row>
    <row r="32" spans="1:5" x14ac:dyDescent="0.25">
      <c r="A32" s="14">
        <f t="shared" si="0"/>
        <v>16</v>
      </c>
      <c r="C32" s="24"/>
      <c r="D32" s="26"/>
    </row>
    <row r="33" spans="1:4" x14ac:dyDescent="0.25">
      <c r="A33" s="14">
        <f t="shared" si="0"/>
        <v>16</v>
      </c>
      <c r="C33" s="24"/>
      <c r="D33" s="26"/>
    </row>
    <row r="34" spans="1:4" x14ac:dyDescent="0.25">
      <c r="A34" s="14">
        <f t="shared" si="0"/>
        <v>16</v>
      </c>
      <c r="C34" s="24"/>
      <c r="D34" s="26"/>
    </row>
    <row r="35" spans="1:4" x14ac:dyDescent="0.25">
      <c r="A35" s="14">
        <f t="shared" si="0"/>
        <v>16</v>
      </c>
      <c r="C35" s="24"/>
      <c r="D35" s="26"/>
    </row>
    <row r="36" spans="1:4" x14ac:dyDescent="0.25">
      <c r="A36" s="14">
        <f t="shared" si="0"/>
        <v>16</v>
      </c>
      <c r="C36" s="24"/>
      <c r="D36" s="26"/>
    </row>
    <row r="37" spans="1:4" x14ac:dyDescent="0.25">
      <c r="A37" s="14">
        <f t="shared" si="0"/>
        <v>16</v>
      </c>
      <c r="C37" s="24"/>
      <c r="D37" s="26"/>
    </row>
    <row r="38" spans="1:4" x14ac:dyDescent="0.25">
      <c r="A38" s="14">
        <f t="shared" si="0"/>
        <v>16</v>
      </c>
      <c r="C38" s="24"/>
      <c r="D38" s="26"/>
    </row>
    <row r="39" spans="1:4" x14ac:dyDescent="0.25">
      <c r="A39" s="14">
        <f t="shared" si="0"/>
        <v>16</v>
      </c>
      <c r="C39" s="24"/>
      <c r="D39" s="26"/>
    </row>
    <row r="40" spans="1:4" x14ac:dyDescent="0.25">
      <c r="A40" s="14">
        <f t="shared" si="0"/>
        <v>16</v>
      </c>
      <c r="C40" s="24"/>
      <c r="D40" s="26"/>
    </row>
    <row r="41" spans="1:4" x14ac:dyDescent="0.25">
      <c r="A41" s="14">
        <f t="shared" si="0"/>
        <v>16</v>
      </c>
      <c r="C41" s="24"/>
      <c r="D41" s="26"/>
    </row>
    <row r="42" spans="1:4" x14ac:dyDescent="0.25">
      <c r="A42" s="14">
        <f t="shared" si="0"/>
        <v>16</v>
      </c>
      <c r="C42" s="24"/>
      <c r="D42" s="26"/>
    </row>
    <row r="43" spans="1:4" x14ac:dyDescent="0.25">
      <c r="A43" s="14">
        <f t="shared" si="0"/>
        <v>16</v>
      </c>
    </row>
    <row r="44" spans="1:4" x14ac:dyDescent="0.25">
      <c r="A44" s="14">
        <f t="shared" si="0"/>
        <v>16</v>
      </c>
    </row>
    <row r="45" spans="1:4" x14ac:dyDescent="0.25">
      <c r="A45" s="14">
        <f t="shared" si="0"/>
        <v>16</v>
      </c>
    </row>
    <row r="46" spans="1:4" x14ac:dyDescent="0.25">
      <c r="A46" s="14">
        <f t="shared" si="0"/>
        <v>16</v>
      </c>
    </row>
    <row r="47" spans="1:4" x14ac:dyDescent="0.25">
      <c r="A47" s="14">
        <f t="shared" si="0"/>
        <v>16</v>
      </c>
    </row>
    <row r="48" spans="1:4" x14ac:dyDescent="0.25">
      <c r="A48" s="14">
        <f t="shared" si="0"/>
        <v>16</v>
      </c>
    </row>
    <row r="49" spans="1:1" x14ac:dyDescent="0.25">
      <c r="A49" s="14">
        <f t="shared" si="0"/>
        <v>16</v>
      </c>
    </row>
    <row r="50" spans="1:1" x14ac:dyDescent="0.25">
      <c r="A50" s="14">
        <f t="shared" si="0"/>
        <v>16</v>
      </c>
    </row>
    <row r="51" spans="1:1" x14ac:dyDescent="0.25">
      <c r="A51" s="14">
        <f t="shared" si="0"/>
        <v>16</v>
      </c>
    </row>
    <row r="52" spans="1:1" x14ac:dyDescent="0.25">
      <c r="A52" s="14">
        <f t="shared" si="0"/>
        <v>16</v>
      </c>
    </row>
    <row r="53" spans="1:1" x14ac:dyDescent="0.25">
      <c r="A53" s="14">
        <f t="shared" si="0"/>
        <v>16</v>
      </c>
    </row>
    <row r="54" spans="1:1" x14ac:dyDescent="0.25">
      <c r="A54" s="14">
        <f t="shared" si="0"/>
        <v>16</v>
      </c>
    </row>
    <row r="55" spans="1:1" x14ac:dyDescent="0.25">
      <c r="A55" s="14">
        <f t="shared" si="0"/>
        <v>16</v>
      </c>
    </row>
    <row r="56" spans="1:1" x14ac:dyDescent="0.25">
      <c r="A56" s="14">
        <f t="shared" si="0"/>
        <v>16</v>
      </c>
    </row>
    <row r="57" spans="1:1" x14ac:dyDescent="0.25">
      <c r="A57" s="14">
        <f t="shared" si="0"/>
        <v>16</v>
      </c>
    </row>
    <row r="58" spans="1:1" x14ac:dyDescent="0.25">
      <c r="A58" s="14">
        <f t="shared" si="0"/>
        <v>16</v>
      </c>
    </row>
    <row r="59" spans="1:1" x14ac:dyDescent="0.25">
      <c r="A59" s="14">
        <f t="shared" si="0"/>
        <v>16</v>
      </c>
    </row>
    <row r="60" spans="1:1" x14ac:dyDescent="0.25">
      <c r="A60" s="14">
        <f t="shared" si="0"/>
        <v>16</v>
      </c>
    </row>
    <row r="61" spans="1:1" x14ac:dyDescent="0.25">
      <c r="A61" s="14">
        <f t="shared" si="0"/>
        <v>16</v>
      </c>
    </row>
    <row r="62" spans="1:1" x14ac:dyDescent="0.25">
      <c r="A62" s="14">
        <f t="shared" si="0"/>
        <v>16</v>
      </c>
    </row>
    <row r="63" spans="1:1" x14ac:dyDescent="0.25">
      <c r="A63" s="14">
        <f t="shared" si="0"/>
        <v>16</v>
      </c>
    </row>
    <row r="64" spans="1:1" x14ac:dyDescent="0.25">
      <c r="A64" s="14">
        <f t="shared" si="0"/>
        <v>16</v>
      </c>
    </row>
    <row r="65" spans="1:1" x14ac:dyDescent="0.25">
      <c r="A65" s="14">
        <f t="shared" si="0"/>
        <v>16</v>
      </c>
    </row>
    <row r="66" spans="1:1" x14ac:dyDescent="0.25">
      <c r="A66" s="14">
        <f t="shared" si="0"/>
        <v>16</v>
      </c>
    </row>
    <row r="67" spans="1:1" x14ac:dyDescent="0.25">
      <c r="A67" s="14">
        <f t="shared" si="0"/>
        <v>16</v>
      </c>
    </row>
    <row r="68" spans="1:1" x14ac:dyDescent="0.25">
      <c r="A68" s="14">
        <f t="shared" si="0"/>
        <v>16</v>
      </c>
    </row>
    <row r="69" spans="1:1" x14ac:dyDescent="0.25">
      <c r="A69" s="14">
        <f t="shared" si="0"/>
        <v>16</v>
      </c>
    </row>
    <row r="70" spans="1:1" x14ac:dyDescent="0.25">
      <c r="A70" s="14">
        <f t="shared" si="0"/>
        <v>16</v>
      </c>
    </row>
    <row r="71" spans="1:1" x14ac:dyDescent="0.25">
      <c r="A71" s="14">
        <f t="shared" ref="A71:A100" si="1">COUNTA(C71)+A70</f>
        <v>16</v>
      </c>
    </row>
    <row r="72" spans="1:1" x14ac:dyDescent="0.25">
      <c r="A72" s="14">
        <f t="shared" si="1"/>
        <v>16</v>
      </c>
    </row>
    <row r="73" spans="1:1" x14ac:dyDescent="0.25">
      <c r="A73" s="14">
        <f t="shared" si="1"/>
        <v>16</v>
      </c>
    </row>
    <row r="74" spans="1:1" x14ac:dyDescent="0.25">
      <c r="A74" s="14">
        <f t="shared" si="1"/>
        <v>16</v>
      </c>
    </row>
    <row r="75" spans="1:1" x14ac:dyDescent="0.25">
      <c r="A75" s="14">
        <f t="shared" si="1"/>
        <v>16</v>
      </c>
    </row>
    <row r="76" spans="1:1" x14ac:dyDescent="0.25">
      <c r="A76" s="14">
        <f t="shared" si="1"/>
        <v>16</v>
      </c>
    </row>
    <row r="77" spans="1:1" x14ac:dyDescent="0.25">
      <c r="A77" s="14">
        <f t="shared" si="1"/>
        <v>16</v>
      </c>
    </row>
    <row r="78" spans="1:1" x14ac:dyDescent="0.25">
      <c r="A78" s="14">
        <f t="shared" si="1"/>
        <v>16</v>
      </c>
    </row>
    <row r="79" spans="1:1" x14ac:dyDescent="0.25">
      <c r="A79" s="14">
        <f t="shared" si="1"/>
        <v>16</v>
      </c>
    </row>
    <row r="80" spans="1:1" x14ac:dyDescent="0.25">
      <c r="A80" s="14">
        <f t="shared" si="1"/>
        <v>16</v>
      </c>
    </row>
    <row r="81" spans="1:1" x14ac:dyDescent="0.25">
      <c r="A81" s="14">
        <f t="shared" si="1"/>
        <v>16</v>
      </c>
    </row>
    <row r="82" spans="1:1" x14ac:dyDescent="0.25">
      <c r="A82" s="14">
        <f t="shared" si="1"/>
        <v>16</v>
      </c>
    </row>
    <row r="83" spans="1:1" x14ac:dyDescent="0.25">
      <c r="A83" s="14">
        <f t="shared" si="1"/>
        <v>16</v>
      </c>
    </row>
    <row r="84" spans="1:1" x14ac:dyDescent="0.25">
      <c r="A84" s="14">
        <f t="shared" si="1"/>
        <v>16</v>
      </c>
    </row>
    <row r="85" spans="1:1" x14ac:dyDescent="0.25">
      <c r="A85" s="14">
        <f t="shared" si="1"/>
        <v>16</v>
      </c>
    </row>
    <row r="86" spans="1:1" x14ac:dyDescent="0.25">
      <c r="A86" s="14">
        <f t="shared" si="1"/>
        <v>16</v>
      </c>
    </row>
    <row r="87" spans="1:1" x14ac:dyDescent="0.25">
      <c r="A87" s="14">
        <f t="shared" si="1"/>
        <v>16</v>
      </c>
    </row>
    <row r="88" spans="1:1" x14ac:dyDescent="0.25">
      <c r="A88" s="14">
        <f t="shared" si="1"/>
        <v>16</v>
      </c>
    </row>
    <row r="89" spans="1:1" x14ac:dyDescent="0.25">
      <c r="A89" s="14">
        <f t="shared" si="1"/>
        <v>16</v>
      </c>
    </row>
    <row r="90" spans="1:1" x14ac:dyDescent="0.25">
      <c r="A90" s="14">
        <f t="shared" si="1"/>
        <v>16</v>
      </c>
    </row>
    <row r="91" spans="1:1" x14ac:dyDescent="0.25">
      <c r="A91" s="14">
        <f t="shared" si="1"/>
        <v>16</v>
      </c>
    </row>
    <row r="92" spans="1:1" x14ac:dyDescent="0.25">
      <c r="A92" s="14">
        <f t="shared" si="1"/>
        <v>16</v>
      </c>
    </row>
    <row r="93" spans="1:1" x14ac:dyDescent="0.25">
      <c r="A93" s="14">
        <f t="shared" si="1"/>
        <v>16</v>
      </c>
    </row>
    <row r="94" spans="1:1" x14ac:dyDescent="0.25">
      <c r="A94" s="14">
        <f t="shared" si="1"/>
        <v>16</v>
      </c>
    </row>
    <row r="95" spans="1:1" x14ac:dyDescent="0.25">
      <c r="A95" s="14">
        <f t="shared" si="1"/>
        <v>16</v>
      </c>
    </row>
    <row r="96" spans="1:1" x14ac:dyDescent="0.25">
      <c r="A96" s="14">
        <f t="shared" si="1"/>
        <v>16</v>
      </c>
    </row>
    <row r="97" spans="1:1" x14ac:dyDescent="0.25">
      <c r="A97" s="14">
        <f t="shared" si="1"/>
        <v>16</v>
      </c>
    </row>
    <row r="98" spans="1:1" x14ac:dyDescent="0.25">
      <c r="A98" s="14">
        <f t="shared" si="1"/>
        <v>16</v>
      </c>
    </row>
    <row r="99" spans="1:1" x14ac:dyDescent="0.25">
      <c r="A99" s="14">
        <f t="shared" si="1"/>
        <v>16</v>
      </c>
    </row>
    <row r="100" spans="1:1" x14ac:dyDescent="0.25">
      <c r="A100" s="14">
        <f t="shared" si="1"/>
        <v>16</v>
      </c>
    </row>
  </sheetData>
  <hyperlinks>
    <hyperlink ref="G2" r:id="rId1" display="tgvortex1@gmail.com"/>
  </hyperlinks>
  <pageMargins left="0.7" right="0.7" top="0.75" bottom="0.75" header="0.3" footer="0.3"/>
  <pageSetup orientation="portrait" horizontalDpi="4294967293" verticalDpi="0" r:id="rId2"/>
  <drawing r:id="rId3"/>
  <legacyDrawing r:id="rId4"/>
  <controls>
    <mc:AlternateContent xmlns:mc="http://schemas.openxmlformats.org/markup-compatibility/2006">
      <mc:Choice Requires="x14">
        <control shapeId="1025" r:id="rId5" name="Run_email_script">
          <controlPr defaultSize="0" autoLine="0" r:id="rId6">
            <anchor moveWithCells="1">
              <from>
                <xdr:col>4</xdr:col>
                <xdr:colOff>1809750</xdr:colOff>
                <xdr:row>7</xdr:row>
                <xdr:rowOff>28575</xdr:rowOff>
              </from>
              <to>
                <xdr:col>8</xdr:col>
                <xdr:colOff>9525</xdr:colOff>
                <xdr:row>9</xdr:row>
                <xdr:rowOff>47625</xdr:rowOff>
              </to>
            </anchor>
          </controlPr>
        </control>
      </mc:Choice>
      <mc:Fallback>
        <control shapeId="1025" r:id="rId5" name="Run_email_scrip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2020-07-11T08:41:28Z</dcterms:modified>
</cp:coreProperties>
</file>